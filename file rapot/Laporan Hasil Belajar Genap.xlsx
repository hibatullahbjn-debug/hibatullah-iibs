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2\Documents\Rapot S.Genap Kls VII 25_26\"/>
    </mc:Choice>
  </mc:AlternateContent>
  <xr:revisionPtr revIDLastSave="0" documentId="13_ncr:1_{ADC27CD2-4D23-4796-ADF1-F35B0937A9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9" i="1" l="1"/>
  <c r="X10" i="1"/>
  <c r="X11" i="1"/>
  <c r="X12" i="1"/>
  <c r="X13" i="1"/>
  <c r="X14" i="1"/>
  <c r="X15" i="1"/>
  <c r="X16" i="1"/>
  <c r="X17" i="1"/>
  <c r="X18" i="1"/>
  <c r="X19" i="1"/>
  <c r="X20" i="1"/>
  <c r="X21" i="1"/>
  <c r="X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8" i="1"/>
</calcChain>
</file>

<file path=xl/sharedStrings.xml><?xml version="1.0" encoding="utf-8"?>
<sst xmlns="http://schemas.openxmlformats.org/spreadsheetml/2006/main" count="42" uniqueCount="42">
  <si>
    <t>SMP ISLAM HIBATULLAH  IIBS BOJONEGOORO</t>
  </si>
  <si>
    <t>SEMESTER GENAP</t>
  </si>
  <si>
    <t>TAHUN PELAJARAN 2025/2026</t>
  </si>
  <si>
    <t>NO</t>
  </si>
  <si>
    <t>NIS</t>
  </si>
  <si>
    <t>NISN</t>
  </si>
  <si>
    <t>NAMA</t>
  </si>
  <si>
    <t>PAI</t>
  </si>
  <si>
    <t>PKN</t>
  </si>
  <si>
    <t>MTK</t>
  </si>
  <si>
    <t>IPA</t>
  </si>
  <si>
    <t>IPS</t>
  </si>
  <si>
    <t>B. IND</t>
  </si>
  <si>
    <t>B. ING</t>
  </si>
  <si>
    <t>Prakarya</t>
  </si>
  <si>
    <t>PJOK</t>
  </si>
  <si>
    <t>B. Jawa</t>
  </si>
  <si>
    <t>Informatika</t>
  </si>
  <si>
    <t>LAPORAN HASIL BELAJAR SISWA-SISWI</t>
  </si>
  <si>
    <t>Abdi Naufal Ramadhani</t>
  </si>
  <si>
    <t>Rata-Rata</t>
  </si>
  <si>
    <t>Ahmad Muzakky</t>
  </si>
  <si>
    <t>Aldebaran Naufal Mubarok</t>
  </si>
  <si>
    <t>Assyifa Bilqis Syahuma Putri</t>
  </si>
  <si>
    <t>Denisha Alifia Wardoyo</t>
  </si>
  <si>
    <t>Iqtada Bi Muhammad Al-Fajr I.F.</t>
  </si>
  <si>
    <t>Kiran Laya Ashofa</t>
  </si>
  <si>
    <t>M. Arba'a Alfiel Fawwaz</t>
  </si>
  <si>
    <t>Mohammad Harist Al Kayyis</t>
  </si>
  <si>
    <t>Muhammad Akmal Fa’iz</t>
  </si>
  <si>
    <t>Raditya Prabaswara Ananta</t>
  </si>
  <si>
    <t>Revalino Alfiansyah Wiguna Putra</t>
  </si>
  <si>
    <t>Fairel Erlambang Gilang Estiawan</t>
  </si>
  <si>
    <t>Jumlah</t>
  </si>
  <si>
    <t>Rank</t>
  </si>
  <si>
    <t>Akidah</t>
  </si>
  <si>
    <t xml:space="preserve">Fiqih </t>
  </si>
  <si>
    <t>Al-Qur'an</t>
  </si>
  <si>
    <t>Akhlak</t>
  </si>
  <si>
    <t>Sirah Nabawiyah</t>
  </si>
  <si>
    <t>Bahasa Arab</t>
  </si>
  <si>
    <t>Shafira Nada Yumeiko Fantastica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</si>
</sst>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0&quot;#"/>
    <numFmt numFmtId="165" formatCode="&quot;000&quot;#"/>
    <numFmt numFmtId="166" formatCode="&quot;00&quot;#"/>
  </numFmts>
  <fonts count="8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9"/>
      <color theme="1"/>
      <name val="Times New Roman"/>
      <family val="1"/>
    </font>
    <font>
      <sz val="12"/>
      <color theme="1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2"/>
      <color theme="1"/>
      <name val="Book Antiqua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Continuous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1" fontId="2" fillId="0" borderId="1" xfId="0" applyNumberFormat="1" applyFont="1" applyBorder="1"/>
    <xf numFmtId="166" fontId="2" fillId="0" borderId="1" xfId="0" applyNumberFormat="1" applyFont="1" applyBorder="1"/>
    <xf numFmtId="1" fontId="3" fillId="0" borderId="1" xfId="0" applyNumberFormat="1" applyFont="1" applyBorder="1"/>
    <xf numFmtId="0" fontId="4" fillId="2" borderId="1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textRotation="90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 textRotation="90"/>
    </xf>
    <xf numFmtId="1" fontId="1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"/>
  <sheetViews>
    <sheetView tabSelected="1" zoomScale="106" zoomScaleNormal="106" workbookViewId="0">
      <selection activeCell="T10" sqref="T10"/>
    </sheetView>
  </sheetViews>
  <sheetFormatPr defaultColWidth="8.7109375" defaultRowHeight="15.75" x14ac:dyDescent="0.25"/>
  <cols>
    <col min="1" max="2" width="8.7109375" style="2"/>
    <col min="3" max="3" width="14.140625" style="2" customWidth="1"/>
    <col min="4" max="4" width="35.42578125" style="2" customWidth="1"/>
    <col min="5" max="5" width="9.140625" style="2" customWidth="1"/>
    <col min="6" max="15" width="8.7109375" style="2"/>
    <col min="16" max="17" width="10.42578125" style="2" customWidth="1"/>
    <col min="18" max="21" width="8.7109375" style="2"/>
    <col min="22" max="22" width="12" style="2" customWidth="1"/>
    <col min="23" max="23" width="16.28515625" style="2" customWidth="1"/>
    <col min="24" max="16384" width="8.7109375" style="2"/>
  </cols>
  <sheetData>
    <row r="1" spans="1:24" x14ac:dyDescent="0.25">
      <c r="A1" s="3" t="s">
        <v>18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4" x14ac:dyDescent="0.25">
      <c r="A2" s="4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24" x14ac:dyDescent="0.25">
      <c r="A3" s="4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4" x14ac:dyDescent="0.25">
      <c r="A4" s="4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24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24" ht="74.25" x14ac:dyDescent="0.25">
      <c r="A7" s="5" t="s">
        <v>3</v>
      </c>
      <c r="B7" s="5" t="s">
        <v>4</v>
      </c>
      <c r="C7" s="5" t="s">
        <v>5</v>
      </c>
      <c r="D7" s="5" t="s">
        <v>6</v>
      </c>
      <c r="E7" s="13" t="s">
        <v>7</v>
      </c>
      <c r="F7" s="13" t="s">
        <v>8</v>
      </c>
      <c r="G7" s="13" t="s">
        <v>12</v>
      </c>
      <c r="H7" s="13" t="s">
        <v>9</v>
      </c>
      <c r="I7" s="13" t="s">
        <v>10</v>
      </c>
      <c r="J7" s="13" t="s">
        <v>11</v>
      </c>
      <c r="K7" s="13" t="s">
        <v>13</v>
      </c>
      <c r="L7" s="13" t="s">
        <v>14</v>
      </c>
      <c r="M7" s="13" t="s">
        <v>15</v>
      </c>
      <c r="N7" s="13" t="s">
        <v>16</v>
      </c>
      <c r="O7" s="13" t="s">
        <v>17</v>
      </c>
      <c r="P7" s="13" t="s">
        <v>35</v>
      </c>
      <c r="Q7" s="13" t="s">
        <v>36</v>
      </c>
      <c r="R7" s="13" t="s">
        <v>37</v>
      </c>
      <c r="S7" s="14" t="s">
        <v>38</v>
      </c>
      <c r="T7" s="14" t="s">
        <v>39</v>
      </c>
      <c r="U7" s="14" t="s">
        <v>40</v>
      </c>
      <c r="V7" s="17" t="s">
        <v>33</v>
      </c>
      <c r="W7" s="17" t="s">
        <v>20</v>
      </c>
      <c r="X7" s="17" t="s">
        <v>34</v>
      </c>
    </row>
    <row r="8" spans="1:24" x14ac:dyDescent="0.25">
      <c r="A8" s="6">
        <v>1</v>
      </c>
      <c r="B8" s="7">
        <v>1</v>
      </c>
      <c r="C8" s="8">
        <v>132865088</v>
      </c>
      <c r="D8" s="19" t="s">
        <v>19</v>
      </c>
      <c r="E8" s="6">
        <v>88</v>
      </c>
      <c r="F8" s="6">
        <v>85</v>
      </c>
      <c r="G8" s="6">
        <v>86</v>
      </c>
      <c r="H8" s="6">
        <v>83</v>
      </c>
      <c r="I8" s="6">
        <v>80</v>
      </c>
      <c r="J8" s="6">
        <v>77</v>
      </c>
      <c r="K8" s="6">
        <v>87</v>
      </c>
      <c r="L8" s="6">
        <v>95</v>
      </c>
      <c r="M8" s="6">
        <v>89</v>
      </c>
      <c r="N8" s="6">
        <v>91</v>
      </c>
      <c r="O8" s="6">
        <v>97</v>
      </c>
      <c r="P8" s="15">
        <v>83</v>
      </c>
      <c r="Q8" s="16">
        <v>89</v>
      </c>
      <c r="R8" s="16">
        <v>88</v>
      </c>
      <c r="S8" s="16">
        <v>90</v>
      </c>
      <c r="T8" s="16">
        <v>90</v>
      </c>
      <c r="U8" s="16">
        <v>82</v>
      </c>
      <c r="V8" s="18">
        <f>SUM(E8:T8)</f>
        <v>1398</v>
      </c>
      <c r="W8" s="18">
        <f>AVERAGE(E8:U8)</f>
        <v>87.058823529411768</v>
      </c>
      <c r="X8" s="18">
        <f>RANK(V8,$V$8:$V$21)</f>
        <v>9</v>
      </c>
    </row>
    <row r="9" spans="1:24" x14ac:dyDescent="0.25">
      <c r="A9" s="6">
        <v>2</v>
      </c>
      <c r="B9" s="7">
        <v>2</v>
      </c>
      <c r="C9" s="8">
        <v>123206238</v>
      </c>
      <c r="D9" s="19" t="s">
        <v>21</v>
      </c>
      <c r="E9" s="6">
        <v>77</v>
      </c>
      <c r="F9" s="6">
        <v>80</v>
      </c>
      <c r="G9" s="6">
        <v>75</v>
      </c>
      <c r="H9" s="6">
        <v>76</v>
      </c>
      <c r="I9" s="6">
        <v>77</v>
      </c>
      <c r="J9" s="6">
        <v>75</v>
      </c>
      <c r="K9" s="6">
        <v>77</v>
      </c>
      <c r="L9" s="6">
        <v>83</v>
      </c>
      <c r="M9" s="6">
        <v>84</v>
      </c>
      <c r="N9" s="6">
        <v>77</v>
      </c>
      <c r="O9" s="6">
        <v>97</v>
      </c>
      <c r="P9" s="15">
        <v>83</v>
      </c>
      <c r="Q9" s="16">
        <v>78</v>
      </c>
      <c r="R9" s="16">
        <v>57</v>
      </c>
      <c r="S9" s="16">
        <v>92</v>
      </c>
      <c r="T9" s="16">
        <v>71</v>
      </c>
      <c r="U9" s="16">
        <v>78</v>
      </c>
      <c r="V9" s="18">
        <f t="shared" ref="V9:V21" si="0">SUM(E9:T9)</f>
        <v>1259</v>
      </c>
      <c r="W9" s="18">
        <f t="shared" ref="W9:W21" si="1">AVERAGE(E9:U9)</f>
        <v>78.647058823529406</v>
      </c>
      <c r="X9" s="18">
        <f t="shared" ref="X9:X21" si="2">RANK(V9,$V$8:$V$21)</f>
        <v>12</v>
      </c>
    </row>
    <row r="10" spans="1:24" x14ac:dyDescent="0.25">
      <c r="A10" s="6">
        <v>3</v>
      </c>
      <c r="B10" s="7">
        <v>3</v>
      </c>
      <c r="C10" s="9">
        <v>132127818</v>
      </c>
      <c r="D10" s="20" t="s">
        <v>22</v>
      </c>
      <c r="E10" s="6">
        <v>95</v>
      </c>
      <c r="F10" s="6">
        <v>90</v>
      </c>
      <c r="G10" s="6">
        <v>95</v>
      </c>
      <c r="H10" s="6">
        <v>77</v>
      </c>
      <c r="I10" s="6">
        <v>89</v>
      </c>
      <c r="J10" s="6">
        <v>96</v>
      </c>
      <c r="K10" s="6">
        <v>82</v>
      </c>
      <c r="L10" s="6">
        <v>91</v>
      </c>
      <c r="M10" s="6">
        <v>87</v>
      </c>
      <c r="N10" s="6">
        <v>79</v>
      </c>
      <c r="O10" s="6">
        <v>96</v>
      </c>
      <c r="P10" s="15">
        <v>98</v>
      </c>
      <c r="Q10" s="16">
        <v>96</v>
      </c>
      <c r="R10" s="16">
        <v>100</v>
      </c>
      <c r="S10" s="16">
        <v>90</v>
      </c>
      <c r="T10" s="16">
        <v>100</v>
      </c>
      <c r="U10" s="16">
        <v>83</v>
      </c>
      <c r="V10" s="18">
        <f t="shared" si="0"/>
        <v>1461</v>
      </c>
      <c r="W10" s="18">
        <f t="shared" si="1"/>
        <v>90.82352941176471</v>
      </c>
      <c r="X10" s="18">
        <f t="shared" si="2"/>
        <v>7</v>
      </c>
    </row>
    <row r="11" spans="1:24" x14ac:dyDescent="0.25">
      <c r="A11" s="6">
        <v>4</v>
      </c>
      <c r="B11" s="7">
        <v>4</v>
      </c>
      <c r="C11" s="10">
        <v>3129790165</v>
      </c>
      <c r="D11" s="19" t="s">
        <v>23</v>
      </c>
      <c r="E11" s="6">
        <v>97</v>
      </c>
      <c r="F11" s="6">
        <v>99</v>
      </c>
      <c r="G11" s="6">
        <v>98</v>
      </c>
      <c r="H11" s="6">
        <v>78</v>
      </c>
      <c r="I11" s="6">
        <v>97</v>
      </c>
      <c r="J11" s="6">
        <v>97</v>
      </c>
      <c r="K11" s="6">
        <v>97</v>
      </c>
      <c r="L11" s="6">
        <v>98</v>
      </c>
      <c r="M11" s="6">
        <v>87</v>
      </c>
      <c r="N11" s="6">
        <v>96</v>
      </c>
      <c r="O11" s="6">
        <v>99</v>
      </c>
      <c r="P11" s="15">
        <v>98</v>
      </c>
      <c r="Q11" s="16">
        <v>100</v>
      </c>
      <c r="R11" s="16">
        <v>80</v>
      </c>
      <c r="S11" s="16">
        <v>92</v>
      </c>
      <c r="T11" s="16">
        <v>97</v>
      </c>
      <c r="U11" s="16">
        <v>80</v>
      </c>
      <c r="V11" s="18">
        <f t="shared" si="0"/>
        <v>1510</v>
      </c>
      <c r="W11" s="18">
        <f t="shared" si="1"/>
        <v>93.529411764705884</v>
      </c>
      <c r="X11" s="18">
        <f t="shared" si="2"/>
        <v>3</v>
      </c>
    </row>
    <row r="12" spans="1:24" x14ac:dyDescent="0.25">
      <c r="A12" s="6">
        <v>5</v>
      </c>
      <c r="B12" s="7">
        <v>5</v>
      </c>
      <c r="C12" s="8">
        <v>123859197</v>
      </c>
      <c r="D12" s="21" t="s">
        <v>24</v>
      </c>
      <c r="E12" s="6">
        <v>97</v>
      </c>
      <c r="F12" s="6">
        <v>85</v>
      </c>
      <c r="G12" s="6">
        <v>97</v>
      </c>
      <c r="H12" s="6">
        <v>79</v>
      </c>
      <c r="I12" s="6">
        <v>95</v>
      </c>
      <c r="J12" s="6">
        <v>98</v>
      </c>
      <c r="K12" s="6">
        <v>87</v>
      </c>
      <c r="L12" s="6">
        <v>90</v>
      </c>
      <c r="M12" s="6">
        <v>88</v>
      </c>
      <c r="N12" s="6">
        <v>80</v>
      </c>
      <c r="O12" s="6">
        <v>99</v>
      </c>
      <c r="P12" s="15">
        <v>94</v>
      </c>
      <c r="Q12" s="16">
        <v>100</v>
      </c>
      <c r="R12" s="16">
        <v>100</v>
      </c>
      <c r="S12" s="16">
        <v>92</v>
      </c>
      <c r="T12" s="16">
        <v>100</v>
      </c>
      <c r="U12" s="16">
        <v>87</v>
      </c>
      <c r="V12" s="18">
        <f t="shared" si="0"/>
        <v>1481</v>
      </c>
      <c r="W12" s="18">
        <f t="shared" si="1"/>
        <v>92.235294117647058</v>
      </c>
      <c r="X12" s="18">
        <f t="shared" si="2"/>
        <v>5</v>
      </c>
    </row>
    <row r="13" spans="1:24" x14ac:dyDescent="0.25">
      <c r="A13" s="6">
        <v>6</v>
      </c>
      <c r="B13" s="7">
        <v>6</v>
      </c>
      <c r="C13" s="8">
        <v>134934808</v>
      </c>
      <c r="D13" s="21" t="s">
        <v>25</v>
      </c>
      <c r="E13" s="6">
        <v>94</v>
      </c>
      <c r="F13" s="6">
        <v>84</v>
      </c>
      <c r="G13" s="6">
        <v>85</v>
      </c>
      <c r="H13" s="6">
        <v>76</v>
      </c>
      <c r="I13" s="6">
        <v>75</v>
      </c>
      <c r="J13" s="6">
        <v>75</v>
      </c>
      <c r="K13" s="6">
        <v>89</v>
      </c>
      <c r="L13" s="6">
        <v>81</v>
      </c>
      <c r="M13" s="6">
        <v>88</v>
      </c>
      <c r="N13" s="6">
        <v>79</v>
      </c>
      <c r="O13" s="6">
        <v>90</v>
      </c>
      <c r="P13" s="15">
        <v>88</v>
      </c>
      <c r="Q13" s="16">
        <v>95</v>
      </c>
      <c r="R13" s="16">
        <v>79</v>
      </c>
      <c r="S13" s="16">
        <v>90</v>
      </c>
      <c r="T13" s="16">
        <v>88</v>
      </c>
      <c r="U13" s="16">
        <v>86</v>
      </c>
      <c r="V13" s="18">
        <f t="shared" si="0"/>
        <v>1356</v>
      </c>
      <c r="W13" s="18">
        <f t="shared" si="1"/>
        <v>84.82352941176471</v>
      </c>
      <c r="X13" s="18">
        <f t="shared" si="2"/>
        <v>10</v>
      </c>
    </row>
    <row r="14" spans="1:24" x14ac:dyDescent="0.25">
      <c r="A14" s="6">
        <v>7</v>
      </c>
      <c r="B14" s="7">
        <v>7</v>
      </c>
      <c r="C14" s="10">
        <v>3128344419</v>
      </c>
      <c r="D14" s="19" t="s">
        <v>26</v>
      </c>
      <c r="E14" s="6">
        <v>97</v>
      </c>
      <c r="F14" s="6">
        <v>96</v>
      </c>
      <c r="G14" s="6">
        <v>98</v>
      </c>
      <c r="H14" s="6">
        <v>80</v>
      </c>
      <c r="I14" s="6">
        <v>98</v>
      </c>
      <c r="J14" s="6">
        <v>98</v>
      </c>
      <c r="K14" s="6">
        <v>99</v>
      </c>
      <c r="L14" s="6">
        <v>98</v>
      </c>
      <c r="M14" s="6">
        <v>80</v>
      </c>
      <c r="N14" s="6">
        <v>98</v>
      </c>
      <c r="O14" s="6">
        <v>99</v>
      </c>
      <c r="P14" s="15">
        <v>94</v>
      </c>
      <c r="Q14" s="16">
        <v>100</v>
      </c>
      <c r="R14" s="16">
        <v>100</v>
      </c>
      <c r="S14" s="16">
        <v>92</v>
      </c>
      <c r="T14" s="16">
        <v>100</v>
      </c>
      <c r="U14" s="16">
        <v>92</v>
      </c>
      <c r="V14" s="18">
        <f t="shared" si="0"/>
        <v>1527</v>
      </c>
      <c r="W14" s="18">
        <f t="shared" si="1"/>
        <v>95.235294117647058</v>
      </c>
      <c r="X14" s="18">
        <f t="shared" si="2"/>
        <v>2</v>
      </c>
    </row>
    <row r="15" spans="1:24" x14ac:dyDescent="0.25">
      <c r="A15" s="6">
        <v>8</v>
      </c>
      <c r="B15" s="7">
        <v>8</v>
      </c>
      <c r="C15" s="8">
        <v>133429607</v>
      </c>
      <c r="D15" s="21" t="s">
        <v>27</v>
      </c>
      <c r="E15" s="6">
        <v>90</v>
      </c>
      <c r="F15" s="6">
        <v>98</v>
      </c>
      <c r="G15" s="6">
        <v>95</v>
      </c>
      <c r="H15" s="6">
        <v>80</v>
      </c>
      <c r="I15" s="6">
        <v>93</v>
      </c>
      <c r="J15" s="6">
        <v>90</v>
      </c>
      <c r="K15" s="6">
        <v>79</v>
      </c>
      <c r="L15" s="6">
        <v>83</v>
      </c>
      <c r="M15" s="6">
        <v>88</v>
      </c>
      <c r="N15" s="6">
        <v>95</v>
      </c>
      <c r="O15" s="6">
        <v>90</v>
      </c>
      <c r="P15" s="15">
        <v>83</v>
      </c>
      <c r="Q15" s="16">
        <v>91</v>
      </c>
      <c r="R15" s="16">
        <v>87</v>
      </c>
      <c r="S15" s="16">
        <v>90</v>
      </c>
      <c r="T15" s="16">
        <v>77</v>
      </c>
      <c r="U15" s="16">
        <v>88</v>
      </c>
      <c r="V15" s="18">
        <f t="shared" si="0"/>
        <v>1409</v>
      </c>
      <c r="W15" s="18">
        <f t="shared" si="1"/>
        <v>88.058823529411768</v>
      </c>
      <c r="X15" s="18">
        <f t="shared" si="2"/>
        <v>8</v>
      </c>
    </row>
    <row r="16" spans="1:24" x14ac:dyDescent="0.25">
      <c r="A16" s="6">
        <v>9</v>
      </c>
      <c r="B16" s="7">
        <v>9</v>
      </c>
      <c r="C16" s="10">
        <v>3139564562</v>
      </c>
      <c r="D16" s="19" t="s">
        <v>28</v>
      </c>
      <c r="E16" s="6">
        <v>97</v>
      </c>
      <c r="F16" s="6">
        <v>91</v>
      </c>
      <c r="G16" s="6">
        <v>80</v>
      </c>
      <c r="H16" s="6">
        <v>79</v>
      </c>
      <c r="I16" s="6">
        <v>93</v>
      </c>
      <c r="J16" s="6">
        <v>94</v>
      </c>
      <c r="K16" s="6">
        <v>99</v>
      </c>
      <c r="L16" s="6">
        <v>94</v>
      </c>
      <c r="M16" s="6">
        <v>84</v>
      </c>
      <c r="N16" s="6">
        <v>85</v>
      </c>
      <c r="O16" s="6">
        <v>96</v>
      </c>
      <c r="P16" s="15">
        <v>95</v>
      </c>
      <c r="Q16" s="16">
        <v>100</v>
      </c>
      <c r="R16" s="16">
        <v>100</v>
      </c>
      <c r="S16" s="16">
        <v>90</v>
      </c>
      <c r="T16" s="16">
        <v>93</v>
      </c>
      <c r="U16" s="16">
        <v>95</v>
      </c>
      <c r="V16" s="18">
        <f t="shared" si="0"/>
        <v>1470</v>
      </c>
      <c r="W16" s="18">
        <f t="shared" si="1"/>
        <v>92.058823529411768</v>
      </c>
      <c r="X16" s="18">
        <f t="shared" si="2"/>
        <v>6</v>
      </c>
    </row>
    <row r="17" spans="1:24" x14ac:dyDescent="0.25">
      <c r="A17" s="6">
        <v>10</v>
      </c>
      <c r="B17" s="11">
        <v>10</v>
      </c>
      <c r="C17" s="8">
        <v>129062670</v>
      </c>
      <c r="D17" s="19" t="s">
        <v>29</v>
      </c>
      <c r="E17" s="6">
        <v>79</v>
      </c>
      <c r="F17" s="6">
        <v>80</v>
      </c>
      <c r="G17" s="6">
        <v>75</v>
      </c>
      <c r="H17" s="6">
        <v>77</v>
      </c>
      <c r="I17" s="6">
        <v>84</v>
      </c>
      <c r="J17" s="6">
        <v>75</v>
      </c>
      <c r="K17" s="6">
        <v>77</v>
      </c>
      <c r="L17" s="6">
        <v>95</v>
      </c>
      <c r="M17" s="6">
        <v>83</v>
      </c>
      <c r="N17" s="6">
        <v>76</v>
      </c>
      <c r="O17" s="6">
        <v>88</v>
      </c>
      <c r="P17" s="15">
        <v>42</v>
      </c>
      <c r="Q17" s="16">
        <v>80</v>
      </c>
      <c r="R17" s="16">
        <v>65</v>
      </c>
      <c r="S17" s="16">
        <v>92</v>
      </c>
      <c r="T17" s="16">
        <v>76</v>
      </c>
      <c r="U17" s="16">
        <v>78</v>
      </c>
      <c r="V17" s="18">
        <f t="shared" si="0"/>
        <v>1244</v>
      </c>
      <c r="W17" s="18">
        <f t="shared" si="1"/>
        <v>77.764705882352942</v>
      </c>
      <c r="X17" s="18">
        <f t="shared" si="2"/>
        <v>13</v>
      </c>
    </row>
    <row r="18" spans="1:24" x14ac:dyDescent="0.25">
      <c r="A18" s="6">
        <v>11</v>
      </c>
      <c r="B18" s="11">
        <v>11</v>
      </c>
      <c r="C18" s="10">
        <v>3122421936</v>
      </c>
      <c r="D18" s="19" t="s">
        <v>30</v>
      </c>
      <c r="E18" s="6">
        <v>96</v>
      </c>
      <c r="F18" s="6">
        <v>80</v>
      </c>
      <c r="G18" s="6">
        <v>75</v>
      </c>
      <c r="H18" s="6">
        <v>77</v>
      </c>
      <c r="I18" s="6">
        <v>89</v>
      </c>
      <c r="J18" s="6">
        <v>87</v>
      </c>
      <c r="K18" s="6">
        <v>77</v>
      </c>
      <c r="L18" s="6">
        <v>95</v>
      </c>
      <c r="M18" s="6">
        <v>88</v>
      </c>
      <c r="N18" s="6">
        <v>77</v>
      </c>
      <c r="O18" s="6">
        <v>86</v>
      </c>
      <c r="P18" s="15">
        <v>84</v>
      </c>
      <c r="Q18" s="16">
        <v>98</v>
      </c>
      <c r="R18" s="16">
        <v>46</v>
      </c>
      <c r="S18" s="16">
        <v>90</v>
      </c>
      <c r="T18" s="16">
        <v>86</v>
      </c>
      <c r="U18" s="16">
        <v>77</v>
      </c>
      <c r="V18" s="18">
        <f t="shared" si="0"/>
        <v>1331</v>
      </c>
      <c r="W18" s="18">
        <f t="shared" si="1"/>
        <v>82.82352941176471</v>
      </c>
      <c r="X18" s="18">
        <f t="shared" si="2"/>
        <v>11</v>
      </c>
    </row>
    <row r="19" spans="1:24" x14ac:dyDescent="0.25">
      <c r="A19" s="6">
        <v>12</v>
      </c>
      <c r="B19" s="11">
        <v>12</v>
      </c>
      <c r="C19" s="8">
        <v>122477839</v>
      </c>
      <c r="D19" s="19" t="s">
        <v>31</v>
      </c>
      <c r="E19" s="6">
        <v>96</v>
      </c>
      <c r="F19" s="6">
        <v>90</v>
      </c>
      <c r="G19" s="6">
        <v>95</v>
      </c>
      <c r="H19" s="6">
        <v>78</v>
      </c>
      <c r="I19" s="6">
        <v>86</v>
      </c>
      <c r="J19" s="6">
        <v>96</v>
      </c>
      <c r="K19" s="6">
        <v>93</v>
      </c>
      <c r="L19" s="6">
        <v>96</v>
      </c>
      <c r="M19" s="6">
        <v>87</v>
      </c>
      <c r="N19" s="6">
        <v>97</v>
      </c>
      <c r="O19" s="6">
        <v>98</v>
      </c>
      <c r="P19" s="15">
        <v>100</v>
      </c>
      <c r="Q19" s="16">
        <v>98</v>
      </c>
      <c r="R19" s="16">
        <v>93</v>
      </c>
      <c r="S19" s="16">
        <v>92</v>
      </c>
      <c r="T19" s="16">
        <v>93</v>
      </c>
      <c r="U19" s="16">
        <v>99</v>
      </c>
      <c r="V19" s="18">
        <f t="shared" si="0"/>
        <v>1488</v>
      </c>
      <c r="W19" s="18">
        <f t="shared" si="1"/>
        <v>93.352941176470594</v>
      </c>
      <c r="X19" s="18">
        <f t="shared" si="2"/>
        <v>4</v>
      </c>
    </row>
    <row r="20" spans="1:24" x14ac:dyDescent="0.25">
      <c r="A20" s="6">
        <v>13</v>
      </c>
      <c r="B20" s="11">
        <v>13</v>
      </c>
      <c r="C20" s="8">
        <v>125546155</v>
      </c>
      <c r="D20" s="19" t="s">
        <v>41</v>
      </c>
      <c r="E20" s="6">
        <v>97</v>
      </c>
      <c r="F20" s="6">
        <v>99</v>
      </c>
      <c r="G20" s="6">
        <v>95</v>
      </c>
      <c r="H20" s="6">
        <v>84</v>
      </c>
      <c r="I20" s="6">
        <v>99</v>
      </c>
      <c r="J20" s="6">
        <v>98</v>
      </c>
      <c r="K20" s="6">
        <v>96</v>
      </c>
      <c r="L20" s="6">
        <v>98</v>
      </c>
      <c r="M20" s="6">
        <v>89</v>
      </c>
      <c r="N20" s="6">
        <v>98</v>
      </c>
      <c r="O20" s="6">
        <v>99</v>
      </c>
      <c r="P20" s="15">
        <v>100</v>
      </c>
      <c r="Q20" s="16">
        <v>100</v>
      </c>
      <c r="R20" s="16">
        <v>100</v>
      </c>
      <c r="S20" s="16">
        <v>92</v>
      </c>
      <c r="T20" s="16">
        <v>97</v>
      </c>
      <c r="U20" s="16">
        <v>98</v>
      </c>
      <c r="V20" s="18">
        <f t="shared" si="0"/>
        <v>1541</v>
      </c>
      <c r="W20" s="18">
        <f t="shared" si="1"/>
        <v>96.411764705882348</v>
      </c>
      <c r="X20" s="18">
        <f t="shared" si="2"/>
        <v>1</v>
      </c>
    </row>
    <row r="21" spans="1:24" x14ac:dyDescent="0.25">
      <c r="A21" s="6">
        <v>14</v>
      </c>
      <c r="B21" s="11">
        <v>14</v>
      </c>
      <c r="C21" s="12">
        <v>3138381017</v>
      </c>
      <c r="D21" s="19" t="s">
        <v>32</v>
      </c>
      <c r="E21" s="6">
        <v>75</v>
      </c>
      <c r="F21" s="6">
        <v>75</v>
      </c>
      <c r="G21" s="6">
        <v>75</v>
      </c>
      <c r="H21" s="6">
        <v>78</v>
      </c>
      <c r="I21" s="6">
        <v>75</v>
      </c>
      <c r="J21" s="6">
        <v>75</v>
      </c>
      <c r="K21" s="6">
        <v>76</v>
      </c>
      <c r="L21" s="6">
        <v>75</v>
      </c>
      <c r="M21" s="6">
        <v>88</v>
      </c>
      <c r="N21" s="6">
        <v>76</v>
      </c>
      <c r="O21" s="6">
        <v>77</v>
      </c>
      <c r="P21" s="15">
        <v>41</v>
      </c>
      <c r="Q21" s="16">
        <v>56</v>
      </c>
      <c r="R21" s="16">
        <v>36</v>
      </c>
      <c r="S21" s="16">
        <v>88</v>
      </c>
      <c r="T21" s="16">
        <v>55</v>
      </c>
      <c r="U21" s="16">
        <v>75</v>
      </c>
      <c r="V21" s="18">
        <f t="shared" si="0"/>
        <v>1121</v>
      </c>
      <c r="W21" s="18">
        <f t="shared" si="1"/>
        <v>70.352941176470594</v>
      </c>
      <c r="X21" s="18">
        <f t="shared" si="2"/>
        <v>14</v>
      </c>
    </row>
    <row r="22" spans="1:2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2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2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2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2026-05-22T03:58:30Z</dcterms:created>
  <dcterms:modified xsi:type="dcterms:W3CDTF">2026-06-17T05:17:27Z</dcterms:modified>
</cp:coreProperties>
</file>