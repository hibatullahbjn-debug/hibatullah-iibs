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\Documents\Rapot S.Ganjil Siswa Kls VII HIIBS\"/>
    </mc:Choice>
  </mc:AlternateContent>
  <xr:revisionPtr revIDLastSave="0" documentId="13_ncr:1_{EDB51743-6EDB-403A-A6DD-129E70C59C6F}" xr6:coauthVersionLast="47" xr6:coauthVersionMax="47" xr10:uidLastSave="{00000000-0000-0000-0000-000000000000}"/>
  <bookViews>
    <workbookView xWindow="-110" yWindow="-110" windowWidth="19420" windowHeight="10420" xr2:uid="{966F9A7B-7ADC-4B8E-AFD0-B9D49EA21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R10" i="1"/>
  <c r="R11" i="1"/>
  <c r="R12" i="1"/>
  <c r="R13" i="1"/>
  <c r="R14" i="1"/>
  <c r="R15" i="1"/>
  <c r="R16" i="1"/>
  <c r="R17" i="1"/>
  <c r="R18" i="1"/>
  <c r="R19" i="1"/>
  <c r="R20" i="1"/>
  <c r="R21" i="1"/>
  <c r="R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8" i="1"/>
</calcChain>
</file>

<file path=xl/sharedStrings.xml><?xml version="1.0" encoding="utf-8"?>
<sst xmlns="http://schemas.openxmlformats.org/spreadsheetml/2006/main" count="36" uniqueCount="36">
  <si>
    <t>SMP ISLAM HIBATULLAH  IIBS BOJONEGOORO</t>
  </si>
  <si>
    <t>SEMESTER GENAP</t>
  </si>
  <si>
    <t>TAHUN PELAJARAN 2025/2026</t>
  </si>
  <si>
    <t>NO</t>
  </si>
  <si>
    <t>NIS</t>
  </si>
  <si>
    <t>NISN</t>
  </si>
  <si>
    <t>NAMA</t>
  </si>
  <si>
    <t>PAI</t>
  </si>
  <si>
    <t>PKN</t>
  </si>
  <si>
    <t>MTK</t>
  </si>
  <si>
    <t>IPA</t>
  </si>
  <si>
    <t>IPS</t>
  </si>
  <si>
    <t>B. IND</t>
  </si>
  <si>
    <t>B. ING</t>
  </si>
  <si>
    <t>Prakarya</t>
  </si>
  <si>
    <t>PJOK</t>
  </si>
  <si>
    <t>B. Jawa</t>
  </si>
  <si>
    <t>Informatika</t>
  </si>
  <si>
    <t>LAPORAN HASIL BELAJAR SISWA-SISWI</t>
  </si>
  <si>
    <t>Abdi Naufal Ramadhani</t>
  </si>
  <si>
    <t>Rata-Rata</t>
  </si>
  <si>
    <t>Ahmad Muzakky</t>
  </si>
  <si>
    <t>Aldebaran Naufal Mubarok</t>
  </si>
  <si>
    <t>Assyifa Bilqis Syahuma Putri</t>
  </si>
  <si>
    <t>Denisha Alifia Wardoyo</t>
  </si>
  <si>
    <t>Iqtada Bi Muhammad Al-Fajr I.F.</t>
  </si>
  <si>
    <t>Kiran Laya Ashofa</t>
  </si>
  <si>
    <t>M. Arba'a Alfiel Fawwaz</t>
  </si>
  <si>
    <t>Mohammad Harist Al Kayyis</t>
  </si>
  <si>
    <t>Muhammad Akmal Fa’iz</t>
  </si>
  <si>
    <t>Raditya Prabaswara Ananta</t>
  </si>
  <si>
    <t>Revalino Alfiansyah Wiguna Putra</t>
  </si>
  <si>
    <t>Shafira Nada Yumeiko</t>
  </si>
  <si>
    <t>Fairel Erlambang Gilang Estiawan</t>
  </si>
  <si>
    <t>Jumlah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</si>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</sst>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#"/>
    <numFmt numFmtId="165" formatCode="&quot;000&quot;#"/>
    <numFmt numFmtId="166" formatCode="&quot;00&quot;#"/>
  </numFmts>
  <fonts count="6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Book Antiqua"/>
      <family val="1"/>
    </font>
    <font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/>
    <xf numFmtId="1" fontId="2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166" fontId="2" fillId="0" borderId="1" xfId="0" applyNumberFormat="1" applyFont="1" applyBorder="1"/>
    <xf numFmtId="1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BEC4-7BCA-4F34-99E8-372DB7230739}">
  <dimension ref="A1:R25"/>
  <sheetViews>
    <sheetView tabSelected="1" zoomScale="80" zoomScaleNormal="80" workbookViewId="0">
      <selection activeCell="O5" sqref="O5"/>
    </sheetView>
  </sheetViews>
  <sheetFormatPr defaultRowHeight="15" x14ac:dyDescent="0.3"/>
  <cols>
    <col min="1" max="2" width="8.7265625" style="2"/>
    <col min="3" max="3" width="14.1796875" style="2" customWidth="1"/>
    <col min="4" max="4" width="35.36328125" style="2" customWidth="1"/>
    <col min="5" max="5" width="9.08984375" style="2" customWidth="1"/>
    <col min="6" max="15" width="8.7265625" style="2"/>
    <col min="16" max="16" width="10.453125" style="2" customWidth="1"/>
    <col min="17" max="17" width="10.36328125" style="2" customWidth="1"/>
    <col min="18" max="16384" width="8.7265625" style="2"/>
  </cols>
  <sheetData>
    <row r="1" spans="1:18" x14ac:dyDescent="0.3">
      <c r="A1" s="3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8" x14ac:dyDescent="0.3">
      <c r="A2" s="4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8" x14ac:dyDescent="0.3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8" x14ac:dyDescent="0.3">
      <c r="A4" s="4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8" ht="65.5" x14ac:dyDescent="0.3">
      <c r="A7" s="5" t="s">
        <v>3</v>
      </c>
      <c r="B7" s="5" t="s">
        <v>4</v>
      </c>
      <c r="C7" s="5" t="s">
        <v>5</v>
      </c>
      <c r="D7" s="5" t="s">
        <v>6</v>
      </c>
      <c r="E7" s="17" t="s">
        <v>7</v>
      </c>
      <c r="F7" s="17" t="s">
        <v>8</v>
      </c>
      <c r="G7" s="17" t="s">
        <v>12</v>
      </c>
      <c r="H7" s="17" t="s">
        <v>9</v>
      </c>
      <c r="I7" s="17" t="s">
        <v>10</v>
      </c>
      <c r="J7" s="17" t="s">
        <v>11</v>
      </c>
      <c r="K7" s="17" t="s">
        <v>13</v>
      </c>
      <c r="L7" s="17" t="s">
        <v>14</v>
      </c>
      <c r="M7" s="17" t="s">
        <v>15</v>
      </c>
      <c r="N7" s="17" t="s">
        <v>16</v>
      </c>
      <c r="O7" s="17" t="s">
        <v>17</v>
      </c>
      <c r="P7" s="18" t="s">
        <v>34</v>
      </c>
      <c r="Q7" s="18" t="s">
        <v>20</v>
      </c>
      <c r="R7" s="18" t="s">
        <v>35</v>
      </c>
    </row>
    <row r="8" spans="1:18" ht="15.5" x14ac:dyDescent="0.35">
      <c r="A8" s="6">
        <v>1</v>
      </c>
      <c r="B8" s="7">
        <v>1</v>
      </c>
      <c r="C8" s="8">
        <v>132865088</v>
      </c>
      <c r="D8" s="9" t="s">
        <v>19</v>
      </c>
      <c r="E8" s="6">
        <v>80</v>
      </c>
      <c r="F8" s="6">
        <v>83</v>
      </c>
      <c r="G8" s="6">
        <v>82</v>
      </c>
      <c r="H8" s="6">
        <v>83</v>
      </c>
      <c r="I8" s="6">
        <v>75</v>
      </c>
      <c r="J8" s="6">
        <v>89</v>
      </c>
      <c r="K8" s="6">
        <v>83</v>
      </c>
      <c r="L8" s="6">
        <v>85</v>
      </c>
      <c r="M8" s="6">
        <v>86</v>
      </c>
      <c r="N8" s="6">
        <v>85</v>
      </c>
      <c r="O8" s="6">
        <v>80</v>
      </c>
      <c r="P8" s="19">
        <f>SUM(E8:O8)</f>
        <v>911</v>
      </c>
      <c r="Q8" s="20">
        <f>AVERAGE(E8:O8)</f>
        <v>82.818181818181813</v>
      </c>
      <c r="R8" s="19">
        <f>RANK(Q8,$Q$8:$Q$21)</f>
        <v>9</v>
      </c>
    </row>
    <row r="9" spans="1:18" ht="15.5" x14ac:dyDescent="0.35">
      <c r="A9" s="6">
        <v>2</v>
      </c>
      <c r="B9" s="7">
        <v>2</v>
      </c>
      <c r="C9" s="8">
        <v>123206238</v>
      </c>
      <c r="D9" s="9" t="s">
        <v>21</v>
      </c>
      <c r="E9" s="6">
        <v>78</v>
      </c>
      <c r="F9" s="6">
        <v>75</v>
      </c>
      <c r="G9" s="6">
        <v>82</v>
      </c>
      <c r="H9" s="6">
        <v>76</v>
      </c>
      <c r="I9" s="6">
        <v>75</v>
      </c>
      <c r="J9" s="6">
        <v>86</v>
      </c>
      <c r="K9" s="6">
        <v>80</v>
      </c>
      <c r="L9" s="6">
        <v>85</v>
      </c>
      <c r="M9" s="6">
        <v>77</v>
      </c>
      <c r="N9" s="6">
        <v>91</v>
      </c>
      <c r="O9" s="6">
        <v>77</v>
      </c>
      <c r="P9" s="19">
        <f t="shared" ref="P9:P21" si="0">SUM(E9:O9)</f>
        <v>882</v>
      </c>
      <c r="Q9" s="20">
        <f t="shared" ref="Q9:Q21" si="1">AVERAGE(E9:O9)</f>
        <v>80.181818181818187</v>
      </c>
      <c r="R9" s="19">
        <f t="shared" ref="R9:R21" si="2">RANK(Q9,$Q$8:$Q$21)</f>
        <v>12</v>
      </c>
    </row>
    <row r="10" spans="1:18" ht="15.5" x14ac:dyDescent="0.35">
      <c r="A10" s="6">
        <v>3</v>
      </c>
      <c r="B10" s="7">
        <v>3</v>
      </c>
      <c r="C10" s="10">
        <v>132127818</v>
      </c>
      <c r="D10" s="11" t="s">
        <v>22</v>
      </c>
      <c r="E10" s="6">
        <v>92</v>
      </c>
      <c r="F10" s="6">
        <v>94</v>
      </c>
      <c r="G10" s="6">
        <v>87</v>
      </c>
      <c r="H10" s="6">
        <v>76</v>
      </c>
      <c r="I10" s="6">
        <v>87</v>
      </c>
      <c r="J10" s="6">
        <v>86</v>
      </c>
      <c r="K10" s="6">
        <v>84</v>
      </c>
      <c r="L10" s="6">
        <v>83</v>
      </c>
      <c r="M10" s="6">
        <v>83</v>
      </c>
      <c r="N10" s="6">
        <v>77</v>
      </c>
      <c r="O10" s="6">
        <v>83</v>
      </c>
      <c r="P10" s="19">
        <f t="shared" si="0"/>
        <v>932</v>
      </c>
      <c r="Q10" s="20">
        <f t="shared" si="1"/>
        <v>84.727272727272734</v>
      </c>
      <c r="R10" s="19">
        <f t="shared" si="2"/>
        <v>6</v>
      </c>
    </row>
    <row r="11" spans="1:18" ht="15.5" x14ac:dyDescent="0.35">
      <c r="A11" s="6">
        <v>4</v>
      </c>
      <c r="B11" s="7">
        <v>4</v>
      </c>
      <c r="C11" s="12">
        <v>3129790165</v>
      </c>
      <c r="D11" s="9" t="s">
        <v>23</v>
      </c>
      <c r="E11" s="6">
        <v>99</v>
      </c>
      <c r="F11" s="6">
        <v>94</v>
      </c>
      <c r="G11" s="6">
        <v>89</v>
      </c>
      <c r="H11" s="6">
        <v>78</v>
      </c>
      <c r="I11" s="6">
        <v>80</v>
      </c>
      <c r="J11" s="6">
        <v>92</v>
      </c>
      <c r="K11" s="6">
        <v>86</v>
      </c>
      <c r="L11" s="6">
        <v>83</v>
      </c>
      <c r="M11" s="6">
        <v>85</v>
      </c>
      <c r="N11" s="6">
        <v>98</v>
      </c>
      <c r="O11" s="6">
        <v>85</v>
      </c>
      <c r="P11" s="19">
        <f t="shared" si="0"/>
        <v>969</v>
      </c>
      <c r="Q11" s="20">
        <f t="shared" si="1"/>
        <v>88.090909090909093</v>
      </c>
      <c r="R11" s="19">
        <f t="shared" si="2"/>
        <v>3</v>
      </c>
    </row>
    <row r="12" spans="1:18" ht="15.5" x14ac:dyDescent="0.35">
      <c r="A12" s="6">
        <v>5</v>
      </c>
      <c r="B12" s="7">
        <v>5</v>
      </c>
      <c r="C12" s="8">
        <v>123859197</v>
      </c>
      <c r="D12" s="13" t="s">
        <v>24</v>
      </c>
      <c r="E12" s="6">
        <v>92</v>
      </c>
      <c r="F12" s="6">
        <v>82</v>
      </c>
      <c r="G12" s="6">
        <v>83</v>
      </c>
      <c r="H12" s="6">
        <v>78</v>
      </c>
      <c r="I12" s="6">
        <v>80</v>
      </c>
      <c r="J12" s="6">
        <v>93</v>
      </c>
      <c r="K12" s="6">
        <v>86</v>
      </c>
      <c r="L12" s="6">
        <v>85</v>
      </c>
      <c r="M12" s="6">
        <v>81</v>
      </c>
      <c r="N12" s="6">
        <v>75</v>
      </c>
      <c r="O12" s="6">
        <v>85</v>
      </c>
      <c r="P12" s="19">
        <f t="shared" si="0"/>
        <v>920</v>
      </c>
      <c r="Q12" s="20">
        <f t="shared" si="1"/>
        <v>83.63636363636364</v>
      </c>
      <c r="R12" s="19">
        <f t="shared" si="2"/>
        <v>8</v>
      </c>
    </row>
    <row r="13" spans="1:18" ht="15.5" x14ac:dyDescent="0.35">
      <c r="A13" s="6">
        <v>6</v>
      </c>
      <c r="B13" s="7">
        <v>6</v>
      </c>
      <c r="C13" s="8">
        <v>134934808</v>
      </c>
      <c r="D13" s="14" t="s">
        <v>25</v>
      </c>
      <c r="E13" s="6">
        <v>95</v>
      </c>
      <c r="F13" s="6">
        <v>76</v>
      </c>
      <c r="G13" s="6">
        <v>77</v>
      </c>
      <c r="H13" s="6">
        <v>76</v>
      </c>
      <c r="I13" s="6">
        <v>75</v>
      </c>
      <c r="J13" s="6">
        <v>78</v>
      </c>
      <c r="K13" s="6">
        <v>83</v>
      </c>
      <c r="L13" s="6">
        <v>85</v>
      </c>
      <c r="M13" s="6">
        <v>81</v>
      </c>
      <c r="N13" s="6">
        <v>92</v>
      </c>
      <c r="O13" s="6">
        <v>80</v>
      </c>
      <c r="P13" s="19">
        <f t="shared" si="0"/>
        <v>898</v>
      </c>
      <c r="Q13" s="20">
        <f t="shared" si="1"/>
        <v>81.63636363636364</v>
      </c>
      <c r="R13" s="19">
        <f t="shared" si="2"/>
        <v>10</v>
      </c>
    </row>
    <row r="14" spans="1:18" ht="15.5" x14ac:dyDescent="0.35">
      <c r="A14" s="6">
        <v>7</v>
      </c>
      <c r="B14" s="7">
        <v>7</v>
      </c>
      <c r="C14" s="12">
        <v>3128344419</v>
      </c>
      <c r="D14" s="9" t="s">
        <v>26</v>
      </c>
      <c r="E14" s="6">
        <v>99</v>
      </c>
      <c r="F14" s="6">
        <v>96</v>
      </c>
      <c r="G14" s="6">
        <v>94</v>
      </c>
      <c r="H14" s="6">
        <v>78</v>
      </c>
      <c r="I14" s="6">
        <v>88</v>
      </c>
      <c r="J14" s="6">
        <v>92</v>
      </c>
      <c r="K14" s="6">
        <v>99</v>
      </c>
      <c r="L14" s="6">
        <v>85</v>
      </c>
      <c r="M14" s="6">
        <v>77</v>
      </c>
      <c r="N14" s="6">
        <v>76</v>
      </c>
      <c r="O14" s="6">
        <v>98</v>
      </c>
      <c r="P14" s="19">
        <f t="shared" si="0"/>
        <v>982</v>
      </c>
      <c r="Q14" s="20">
        <f t="shared" si="1"/>
        <v>89.272727272727266</v>
      </c>
      <c r="R14" s="19">
        <f t="shared" si="2"/>
        <v>2</v>
      </c>
    </row>
    <row r="15" spans="1:18" ht="15.5" x14ac:dyDescent="0.35">
      <c r="A15" s="6">
        <v>8</v>
      </c>
      <c r="B15" s="7">
        <v>8</v>
      </c>
      <c r="C15" s="8">
        <v>133429607</v>
      </c>
      <c r="D15" s="14" t="s">
        <v>27</v>
      </c>
      <c r="E15" s="6">
        <v>86</v>
      </c>
      <c r="F15" s="6">
        <v>84</v>
      </c>
      <c r="G15" s="6">
        <v>78</v>
      </c>
      <c r="H15" s="6">
        <v>79</v>
      </c>
      <c r="I15" s="6">
        <v>80</v>
      </c>
      <c r="J15" s="6">
        <v>88</v>
      </c>
      <c r="K15" s="6">
        <v>80</v>
      </c>
      <c r="L15" s="6">
        <v>91</v>
      </c>
      <c r="M15" s="6">
        <v>89</v>
      </c>
      <c r="N15" s="6">
        <v>93</v>
      </c>
      <c r="O15" s="6">
        <v>75</v>
      </c>
      <c r="P15" s="19">
        <f t="shared" si="0"/>
        <v>923</v>
      </c>
      <c r="Q15" s="20">
        <f t="shared" si="1"/>
        <v>83.909090909090907</v>
      </c>
      <c r="R15" s="19">
        <f t="shared" si="2"/>
        <v>7</v>
      </c>
    </row>
    <row r="16" spans="1:18" ht="15.5" x14ac:dyDescent="0.35">
      <c r="A16" s="6">
        <v>9</v>
      </c>
      <c r="B16" s="7">
        <v>9</v>
      </c>
      <c r="C16" s="12">
        <v>3139564562</v>
      </c>
      <c r="D16" s="9" t="s">
        <v>28</v>
      </c>
      <c r="E16" s="6">
        <v>99</v>
      </c>
      <c r="F16" s="6">
        <v>92</v>
      </c>
      <c r="G16" s="6">
        <v>89</v>
      </c>
      <c r="H16" s="6">
        <v>76</v>
      </c>
      <c r="I16" s="6">
        <v>75</v>
      </c>
      <c r="J16" s="6">
        <v>88</v>
      </c>
      <c r="K16" s="6">
        <v>98</v>
      </c>
      <c r="L16" s="6">
        <v>85</v>
      </c>
      <c r="M16" s="6">
        <v>78</v>
      </c>
      <c r="N16" s="6">
        <v>85</v>
      </c>
      <c r="O16" s="6">
        <v>80</v>
      </c>
      <c r="P16" s="19">
        <f t="shared" si="0"/>
        <v>945</v>
      </c>
      <c r="Q16" s="20">
        <f t="shared" si="1"/>
        <v>85.909090909090907</v>
      </c>
      <c r="R16" s="19">
        <f t="shared" si="2"/>
        <v>4</v>
      </c>
    </row>
    <row r="17" spans="1:18" ht="15.5" x14ac:dyDescent="0.35">
      <c r="A17" s="6">
        <v>10</v>
      </c>
      <c r="B17" s="15">
        <v>10</v>
      </c>
      <c r="C17" s="8">
        <v>129062670</v>
      </c>
      <c r="D17" s="9" t="s">
        <v>29</v>
      </c>
      <c r="E17" s="6">
        <v>82</v>
      </c>
      <c r="F17" s="6">
        <v>75</v>
      </c>
      <c r="G17" s="6">
        <v>75</v>
      </c>
      <c r="H17" s="6">
        <v>77</v>
      </c>
      <c r="I17" s="6">
        <v>75</v>
      </c>
      <c r="J17" s="6">
        <v>77</v>
      </c>
      <c r="K17" s="6">
        <v>80</v>
      </c>
      <c r="L17" s="6">
        <v>85</v>
      </c>
      <c r="M17" s="6">
        <v>76</v>
      </c>
      <c r="N17" s="6">
        <v>75</v>
      </c>
      <c r="O17" s="6">
        <v>76</v>
      </c>
      <c r="P17" s="19">
        <f t="shared" si="0"/>
        <v>853</v>
      </c>
      <c r="Q17" s="20">
        <f t="shared" si="1"/>
        <v>77.545454545454547</v>
      </c>
      <c r="R17" s="19">
        <f t="shared" si="2"/>
        <v>14</v>
      </c>
    </row>
    <row r="18" spans="1:18" ht="15.5" x14ac:dyDescent="0.35">
      <c r="A18" s="6">
        <v>11</v>
      </c>
      <c r="B18" s="15">
        <v>11</v>
      </c>
      <c r="C18" s="12">
        <v>3122421936</v>
      </c>
      <c r="D18" s="9" t="s">
        <v>30</v>
      </c>
      <c r="E18" s="6">
        <v>88</v>
      </c>
      <c r="F18" s="6">
        <v>80</v>
      </c>
      <c r="G18" s="6">
        <v>83</v>
      </c>
      <c r="H18" s="6">
        <v>76</v>
      </c>
      <c r="I18" s="6">
        <v>82</v>
      </c>
      <c r="J18" s="6">
        <v>82</v>
      </c>
      <c r="K18" s="6">
        <v>80</v>
      </c>
      <c r="L18" s="6">
        <v>85</v>
      </c>
      <c r="M18" s="6">
        <v>84</v>
      </c>
      <c r="N18" s="6">
        <v>76</v>
      </c>
      <c r="O18" s="6">
        <v>77</v>
      </c>
      <c r="P18" s="19">
        <f t="shared" si="0"/>
        <v>893</v>
      </c>
      <c r="Q18" s="20">
        <f t="shared" si="1"/>
        <v>81.181818181818187</v>
      </c>
      <c r="R18" s="19">
        <f t="shared" si="2"/>
        <v>11</v>
      </c>
    </row>
    <row r="19" spans="1:18" ht="15.5" x14ac:dyDescent="0.35">
      <c r="A19" s="6">
        <v>12</v>
      </c>
      <c r="B19" s="15">
        <v>12</v>
      </c>
      <c r="C19" s="8">
        <v>122477839</v>
      </c>
      <c r="D19" s="9" t="s">
        <v>31</v>
      </c>
      <c r="E19" s="6">
        <v>94</v>
      </c>
      <c r="F19" s="6">
        <v>84</v>
      </c>
      <c r="G19" s="6">
        <v>91</v>
      </c>
      <c r="H19" s="6">
        <v>77</v>
      </c>
      <c r="I19" s="6">
        <v>75</v>
      </c>
      <c r="J19" s="6">
        <v>84</v>
      </c>
      <c r="K19" s="6">
        <v>85</v>
      </c>
      <c r="L19" s="6">
        <v>91</v>
      </c>
      <c r="M19" s="6">
        <v>85</v>
      </c>
      <c r="N19" s="6">
        <v>90</v>
      </c>
      <c r="O19" s="6">
        <v>80</v>
      </c>
      <c r="P19" s="19">
        <f t="shared" si="0"/>
        <v>936</v>
      </c>
      <c r="Q19" s="20">
        <f t="shared" si="1"/>
        <v>85.090909090909093</v>
      </c>
      <c r="R19" s="19">
        <f t="shared" si="2"/>
        <v>5</v>
      </c>
    </row>
    <row r="20" spans="1:18" ht="15.5" x14ac:dyDescent="0.35">
      <c r="A20" s="6">
        <v>13</v>
      </c>
      <c r="B20" s="15">
        <v>13</v>
      </c>
      <c r="C20" s="8">
        <v>125546155</v>
      </c>
      <c r="D20" s="9" t="s">
        <v>32</v>
      </c>
      <c r="E20" s="6">
        <v>99</v>
      </c>
      <c r="F20" s="6">
        <v>98</v>
      </c>
      <c r="G20" s="6">
        <v>94</v>
      </c>
      <c r="H20" s="6">
        <v>81</v>
      </c>
      <c r="I20" s="6">
        <v>85</v>
      </c>
      <c r="J20" s="6">
        <v>98</v>
      </c>
      <c r="K20" s="6">
        <v>98</v>
      </c>
      <c r="L20" s="6">
        <v>91</v>
      </c>
      <c r="M20" s="6">
        <v>85</v>
      </c>
      <c r="N20" s="6">
        <v>98</v>
      </c>
      <c r="O20" s="6">
        <v>95</v>
      </c>
      <c r="P20" s="19">
        <f t="shared" si="0"/>
        <v>1022</v>
      </c>
      <c r="Q20" s="20">
        <f t="shared" si="1"/>
        <v>92.909090909090907</v>
      </c>
      <c r="R20" s="19">
        <f t="shared" si="2"/>
        <v>1</v>
      </c>
    </row>
    <row r="21" spans="1:18" ht="15.5" x14ac:dyDescent="0.35">
      <c r="A21" s="6">
        <v>14</v>
      </c>
      <c r="B21" s="15">
        <v>14</v>
      </c>
      <c r="C21" s="16">
        <v>3138381017</v>
      </c>
      <c r="D21" s="9" t="s">
        <v>33</v>
      </c>
      <c r="E21" s="6">
        <v>75</v>
      </c>
      <c r="F21" s="6">
        <v>75</v>
      </c>
      <c r="G21" s="6">
        <v>75</v>
      </c>
      <c r="H21" s="6">
        <v>75</v>
      </c>
      <c r="I21" s="6">
        <v>75</v>
      </c>
      <c r="J21" s="6">
        <v>77</v>
      </c>
      <c r="K21" s="6">
        <v>76</v>
      </c>
      <c r="L21" s="6">
        <v>85</v>
      </c>
      <c r="M21" s="6">
        <v>84</v>
      </c>
      <c r="N21" s="6">
        <v>80</v>
      </c>
      <c r="O21" s="6">
        <v>80</v>
      </c>
      <c r="P21" s="19">
        <f t="shared" si="0"/>
        <v>857</v>
      </c>
      <c r="Q21" s="20">
        <f t="shared" si="1"/>
        <v>77.909090909090907</v>
      </c>
      <c r="R21" s="19">
        <f t="shared" si="2"/>
        <v>13</v>
      </c>
    </row>
    <row r="22" spans="1:18" ht="15.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8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8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8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2026-05-22T03:58:30Z</dcterms:created>
  <dcterms:modified xsi:type="dcterms:W3CDTF">2026-05-25T06:21:54Z</dcterms:modified>
</cp:coreProperties>
</file>